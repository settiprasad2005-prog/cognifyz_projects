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32512f37f03c02/Desktop/coginfz/"/>
    </mc:Choice>
  </mc:AlternateContent>
  <xr:revisionPtr revIDLastSave="0" documentId="8_{F136EA45-D05D-4DD6-962B-8BDA98145FA7}" xr6:coauthVersionLast="47" xr6:coauthVersionMax="47" xr10:uidLastSave="{00000000-0000-0000-0000-000000000000}"/>
  <bookViews>
    <workbookView xWindow="-108" yWindow="-108" windowWidth="23256" windowHeight="12456" activeTab="4" xr2:uid="{5A439723-44F6-4246-8428-68B1552C40B8}"/>
  </bookViews>
  <sheets>
    <sheet name="Task 5" sheetId="3" r:id="rId1"/>
    <sheet name="Scatter Plot 1" sheetId="4" r:id="rId2"/>
    <sheet name="scatter plot2" sheetId="5" r:id="rId3"/>
    <sheet name="scatter plot3" sheetId="6" r:id="rId4"/>
    <sheet name="bubble chart" sheetId="7" r:id="rId5"/>
    <sheet name="Data_set 2 (1)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2" i="1"/>
  <c r="B4" i="3" l="1"/>
</calcChain>
</file>

<file path=xl/sharedStrings.xml><?xml version="1.0" encoding="utf-8"?>
<sst xmlns="http://schemas.openxmlformats.org/spreadsheetml/2006/main" count="715" uniqueCount="77">
  <si>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</si>
  <si>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</si>
  <si>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</si>
  <si>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</si>
  <si>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</si>
  <si>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</si>
  <si>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</si>
  <si>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</si>
  <si>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</si>
  <si>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</si>
  <si>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</si>
  <si>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</si>
  <si>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</si>
  <si>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</si>
  <si>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</si>
  <si>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</si>
  <si>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</si>
  <si>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</si>
  <si>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</si>
  <si>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</si>
  <si>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</si>
  <si>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</si>
  <si>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</si>
  <si>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</si>
  <si>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</si>
  <si>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</si>
  <si>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</si>
  <si>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</si>
  <si>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</si>
  <si>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</si>
  <si>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</si>
  <si>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</si>
  <si>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</si>
  <si>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</si>
  <si>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</si>
  <si>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</si>
  <si>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</si>
  <si>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</si>
  <si>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</si>
  <si>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</si>
  <si>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</si>
  <si>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</si>
  <si>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</si>
  <si>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</si>
  <si>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</si>
  <si>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</si>
  <si>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</si>
  <si>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</si>
  <si>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</si>
  <si>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</si>
  <si>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</si>
  <si>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</si>
  <si>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</si>
  <si>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</si>
  <si>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</si>
  <si>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</si>
  <si>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</si>
  <si>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</si>
  <si>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</si>
  <si>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</si>
  <si>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</si>
  <si>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</si>
  <si>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</si>
  <si>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</si>
  <si>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</si>
  <si>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</si>
  <si>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</si>
  <si>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</si>
  <si>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Duration_No</t>
  </si>
  <si>
    <t>Expect_No</t>
  </si>
  <si>
    <t>Variables</t>
  </si>
  <si>
    <t>Correlation</t>
  </si>
  <si>
    <t>Age vs Duration</t>
  </si>
  <si>
    <t>Age vs Expect</t>
  </si>
  <si>
    <t>Duration vs Expect</t>
  </si>
  <si>
    <t>Interpretation</t>
  </si>
  <si>
    <t>Weak Positive 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</si>
</sst>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5" Type="http://schemas.openxmlformats.org/officeDocument/2006/relationships/chartsheet" Target="chartsheets/sheet4.xml"/><Relationship Id="rId10" Type="http://schemas.openxmlformats.org/officeDocument/2006/relationships/calcChain" Target="calcChain.xml"/><Relationship Id="rId4" Type="http://schemas.openxmlformats.org/officeDocument/2006/relationships/chartsheet" Target="chart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Age vs Investment 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'Data_set 2 (1)'!$Y$1</c:f>
              <c:strCache>
                <c:ptCount val="1"/>
                <c:pt idx="0">
                  <c:v>Duration_No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'Data_set 2 (1)'!$B$2:$B$41</c:f>
              <c:strCache>
                <c:ptCount val="40"/>
                <c:pt idx="0">
                  <c:v>age</c:v>
                </c:pt>
                <c:pt idx="1">
                  <c:v>age</c:v>
                </c:pt>
                <c:pt idx="2">
                  <c:v>age</c:v>
                </c:pt>
                <c:pt idx="3">
                  <c:v>age</c:v>
                </c:pt>
                <c:pt idx="4">
                  <c:v>age</c:v>
                </c:pt>
                <c:pt idx="5">
                  <c:v>age</c:v>
                </c:pt>
                <c:pt idx="6">
                  <c:v>age</c:v>
                </c:pt>
                <c:pt idx="7">
                  <c:v>age</c:v>
                </c:pt>
                <c:pt idx="8">
                  <c:v>age</c:v>
                </c:pt>
                <c:pt idx="9">
                  <c:v>age</c:v>
                </c:pt>
                <c:pt idx="10">
                  <c:v>age</c:v>
                </c:pt>
                <c:pt idx="11">
                  <c:v>age</c:v>
                </c:pt>
                <c:pt idx="12">
                  <c:v>age</c:v>
                </c:pt>
                <c:pt idx="13">
                  <c:v>age</c:v>
                </c:pt>
                <c:pt idx="14">
                  <c:v>age</c:v>
                </c:pt>
                <c:pt idx="15">
                  <c:v>age</c:v>
                </c:pt>
                <c:pt idx="16">
                  <c:v>age</c:v>
                </c:pt>
                <c:pt idx="17">
                  <c:v>age</c:v>
                </c:pt>
                <c:pt idx="18">
                  <c:v>age</c:v>
                </c:pt>
                <c:pt idx="19">
                  <c:v>age</c:v>
                </c:pt>
                <c:pt idx="20">
                  <c:v>age</c:v>
                </c:pt>
                <c:pt idx="21">
                  <c:v>age</c:v>
                </c:pt>
                <c:pt idx="22">
                  <c:v>age</c:v>
                </c:pt>
                <c:pt idx="23">
                  <c:v>age</c:v>
                </c:pt>
                <c:pt idx="24">
                  <c:v>age</c:v>
                </c:pt>
                <c:pt idx="25">
                  <c:v>age</c:v>
                </c:pt>
                <c:pt idx="26">
                  <c:v>age</c:v>
                </c:pt>
                <c:pt idx="27">
                  <c:v>age</c:v>
                </c:pt>
                <c:pt idx="28">
                  <c:v>age</c:v>
                </c:pt>
                <c:pt idx="29">
                  <c:v>age</c:v>
                </c:pt>
                <c:pt idx="30">
                  <c:v>age</c:v>
                </c:pt>
                <c:pt idx="31">
                  <c:v>age</c:v>
                </c:pt>
                <c:pt idx="32">
                  <c:v>age</c:v>
                </c:pt>
                <c:pt idx="33">
                  <c:v>age</c:v>
                </c:pt>
                <c:pt idx="34">
                  <c:v>age</c:v>
                </c:pt>
                <c:pt idx="35">
                  <c:v>age</c:v>
                </c:pt>
                <c:pt idx="36">
                  <c:v>age</c:v>
                </c:pt>
                <c:pt idx="37">
                  <c:v>age</c:v>
                </c:pt>
                <c:pt idx="38">
                  <c:v>age</c:v>
                </c:pt>
                <c:pt idx="39">
                  <c:v>age</c:v>
                </c:pt>
              </c:strCache>
            </c:strRef>
          </c:xVal>
          <c:yVal>
            <c:numRef>
              <c:f>'Data_set 2 (1)'!$Y$2:$Y$41</c:f>
              <c:numCache>
                <c:formatCode>General</c:formatCode>
                <c:ptCount val="40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58-40F4-937D-D978AED44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720384"/>
        <c:axId val="1167721824"/>
      </c:scatterChart>
      <c:valAx>
        <c:axId val="116772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721824"/>
        <c:crosses val="autoZero"/>
        <c:crossBetween val="midCat"/>
      </c:valAx>
      <c:valAx>
        <c:axId val="116772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720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Investment Duration vs Expected Returns</a:t>
            </a:r>
            <a:endParaRPr lang="en-IN" b="1"/>
          </a:p>
        </c:rich>
      </c:tx>
      <c:layout>
        <c:manualLayout>
          <c:xMode val="edge"/>
          <c:yMode val="edge"/>
          <c:x val="0.1697360017497812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'Data_set 2 (1)'!$Z$1</c:f>
              <c:strCache>
                <c:ptCount val="1"/>
                <c:pt idx="0">
                  <c:v>Expect_No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'Data_set 2 (1)'!$B$2:$B$41</c:f>
              <c:strCache>
                <c:ptCount val="40"/>
                <c:pt idx="0">
                  <c:v>age</c:v>
                </c:pt>
                <c:pt idx="1">
                  <c:v>age</c:v>
                </c:pt>
                <c:pt idx="2">
                  <c:v>age</c:v>
                </c:pt>
                <c:pt idx="3">
                  <c:v>age</c:v>
                </c:pt>
                <c:pt idx="4">
                  <c:v>age</c:v>
                </c:pt>
                <c:pt idx="5">
                  <c:v>age</c:v>
                </c:pt>
                <c:pt idx="6">
                  <c:v>age</c:v>
                </c:pt>
                <c:pt idx="7">
                  <c:v>age</c:v>
                </c:pt>
                <c:pt idx="8">
                  <c:v>age</c:v>
                </c:pt>
                <c:pt idx="9">
                  <c:v>age</c:v>
                </c:pt>
                <c:pt idx="10">
                  <c:v>age</c:v>
                </c:pt>
                <c:pt idx="11">
                  <c:v>age</c:v>
                </c:pt>
                <c:pt idx="12">
                  <c:v>age</c:v>
                </c:pt>
                <c:pt idx="13">
                  <c:v>age</c:v>
                </c:pt>
                <c:pt idx="14">
                  <c:v>age</c:v>
                </c:pt>
                <c:pt idx="15">
                  <c:v>age</c:v>
                </c:pt>
                <c:pt idx="16">
                  <c:v>age</c:v>
                </c:pt>
                <c:pt idx="17">
                  <c:v>age</c:v>
                </c:pt>
                <c:pt idx="18">
                  <c:v>age</c:v>
                </c:pt>
                <c:pt idx="19">
                  <c:v>age</c:v>
                </c:pt>
                <c:pt idx="20">
                  <c:v>age</c:v>
                </c:pt>
                <c:pt idx="21">
                  <c:v>age</c:v>
                </c:pt>
                <c:pt idx="22">
                  <c:v>age</c:v>
                </c:pt>
                <c:pt idx="23">
                  <c:v>age</c:v>
                </c:pt>
                <c:pt idx="24">
                  <c:v>age</c:v>
                </c:pt>
                <c:pt idx="25">
                  <c:v>age</c:v>
                </c:pt>
                <c:pt idx="26">
                  <c:v>age</c:v>
                </c:pt>
                <c:pt idx="27">
                  <c:v>age</c:v>
                </c:pt>
                <c:pt idx="28">
                  <c:v>age</c:v>
                </c:pt>
                <c:pt idx="29">
                  <c:v>age</c:v>
                </c:pt>
                <c:pt idx="30">
                  <c:v>age</c:v>
                </c:pt>
                <c:pt idx="31">
                  <c:v>age</c:v>
                </c:pt>
                <c:pt idx="32">
                  <c:v>age</c:v>
                </c:pt>
                <c:pt idx="33">
                  <c:v>age</c:v>
                </c:pt>
                <c:pt idx="34">
                  <c:v>age</c:v>
                </c:pt>
                <c:pt idx="35">
                  <c:v>age</c:v>
                </c:pt>
                <c:pt idx="36">
                  <c:v>age</c:v>
                </c:pt>
                <c:pt idx="37">
                  <c:v>age</c:v>
                </c:pt>
                <c:pt idx="38">
                  <c:v>age</c:v>
                </c:pt>
                <c:pt idx="39">
                  <c:v>age</c:v>
                </c:pt>
              </c:strCache>
            </c:strRef>
          </c:xVal>
          <c:yVal>
            <c:numRef>
              <c:f>'Data_set 2 (1)'!$Z$2:$Z$41</c:f>
              <c:numCache>
                <c:formatCode>General</c:formatCode>
                <c:ptCount val="4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1C-4E32-A812-D636FFD2B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258336"/>
        <c:axId val="1168258816"/>
      </c:scatterChart>
      <c:valAx>
        <c:axId val="116825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Age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258816"/>
        <c:crosses val="autoZero"/>
        <c:crossBetween val="midCat"/>
      </c:valAx>
      <c:valAx>
        <c:axId val="116825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Expected Returns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258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Investment Duration vs Expected 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'Data_set 2 (1)'!$Z$1</c:f>
              <c:strCache>
                <c:ptCount val="1"/>
                <c:pt idx="0">
                  <c:v>Expect_No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'Data_set 2 (1)'!$Y$2:$Y$41</c:f>
              <c:numCache>
                <c:formatCode>General</c:formatCode>
                <c:ptCount val="40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3</c:v>
                </c:pt>
              </c:numCache>
            </c:numRef>
          </c:xVal>
          <c:yVal>
            <c:numRef>
              <c:f>'Data_set 2 (1)'!$Z$2:$Z$41</c:f>
              <c:numCache>
                <c:formatCode>General</c:formatCode>
                <c:ptCount val="4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DB-48B3-9208-F7F6C0040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054080"/>
        <c:axId val="1170053600"/>
      </c:scatterChart>
      <c:valAx>
        <c:axId val="117005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Investment Duration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053600"/>
        <c:crosses val="autoZero"/>
        <c:crossBetween val="midCat"/>
      </c:valAx>
      <c:valAx>
        <c:axId val="117005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Expected Returns 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054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Investment Duration vs Expected Returns (Bubble Size = Age)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'Data_set 2 (1)'!$Y$1</c:f>
              <c:strCache>
                <c:ptCount val="1"/>
                <c:pt idx="0">
                  <c:v>Duration_No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strRef>
              <c:f>'Data_set 2 (1)'!$B$2:$B$41</c:f>
              <c:strCache>
                <c:ptCount val="40"/>
                <c:pt idx="0">
                  <c:v>age</c:v>
                </c:pt>
                <c:pt idx="1">
                  <c:v>age</c:v>
                </c:pt>
                <c:pt idx="2">
                  <c:v>age</c:v>
                </c:pt>
                <c:pt idx="3">
                  <c:v>age</c:v>
                </c:pt>
                <c:pt idx="4">
                  <c:v>age</c:v>
                </c:pt>
                <c:pt idx="5">
                  <c:v>age</c:v>
                </c:pt>
                <c:pt idx="6">
                  <c:v>age</c:v>
                </c:pt>
                <c:pt idx="7">
                  <c:v>age</c:v>
                </c:pt>
                <c:pt idx="8">
                  <c:v>age</c:v>
                </c:pt>
                <c:pt idx="9">
                  <c:v>age</c:v>
                </c:pt>
                <c:pt idx="10">
                  <c:v>age</c:v>
                </c:pt>
                <c:pt idx="11">
                  <c:v>age</c:v>
                </c:pt>
                <c:pt idx="12">
                  <c:v>age</c:v>
                </c:pt>
                <c:pt idx="13">
                  <c:v>age</c:v>
                </c:pt>
                <c:pt idx="14">
                  <c:v>age</c:v>
                </c:pt>
                <c:pt idx="15">
                  <c:v>age</c:v>
                </c:pt>
                <c:pt idx="16">
                  <c:v>age</c:v>
                </c:pt>
                <c:pt idx="17">
                  <c:v>age</c:v>
                </c:pt>
                <c:pt idx="18">
                  <c:v>age</c:v>
                </c:pt>
                <c:pt idx="19">
                  <c:v>age</c:v>
                </c:pt>
                <c:pt idx="20">
                  <c:v>age</c:v>
                </c:pt>
                <c:pt idx="21">
                  <c:v>age</c:v>
                </c:pt>
                <c:pt idx="22">
                  <c:v>age</c:v>
                </c:pt>
                <c:pt idx="23">
                  <c:v>age</c:v>
                </c:pt>
                <c:pt idx="24">
                  <c:v>age</c:v>
                </c:pt>
                <c:pt idx="25">
                  <c:v>age</c:v>
                </c:pt>
                <c:pt idx="26">
                  <c:v>age</c:v>
                </c:pt>
                <c:pt idx="27">
                  <c:v>age</c:v>
                </c:pt>
                <c:pt idx="28">
                  <c:v>age</c:v>
                </c:pt>
                <c:pt idx="29">
                  <c:v>age</c:v>
                </c:pt>
                <c:pt idx="30">
                  <c:v>age</c:v>
                </c:pt>
                <c:pt idx="31">
                  <c:v>age</c:v>
                </c:pt>
                <c:pt idx="32">
                  <c:v>age</c:v>
                </c:pt>
                <c:pt idx="33">
                  <c:v>age</c:v>
                </c:pt>
                <c:pt idx="34">
                  <c:v>age</c:v>
                </c:pt>
                <c:pt idx="35">
                  <c:v>age</c:v>
                </c:pt>
                <c:pt idx="36">
                  <c:v>age</c:v>
                </c:pt>
                <c:pt idx="37">
                  <c:v>age</c:v>
                </c:pt>
                <c:pt idx="38">
                  <c:v>age</c:v>
                </c:pt>
                <c:pt idx="39">
                  <c:v>age</c:v>
                </c:pt>
              </c:strCache>
            </c:strRef>
          </c:xVal>
          <c:yVal>
            <c:numRef>
              <c:f>'Data_set 2 (1)'!$Y$2:$Y$41</c:f>
              <c:numCache>
                <c:formatCode>General</c:formatCode>
                <c:ptCount val="40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3</c:v>
                </c:pt>
              </c:numCache>
            </c:numRef>
          </c:yVal>
          <c:bubbleSize>
            <c:numRef>
              <c:f>'Data_set 2 (1)'!$Z$2:$Z$41</c:f>
              <c:numCache>
                <c:formatCode>General</c:formatCode>
                <c:ptCount val="4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FFF1-43FF-8B61-3C1EE11E1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213928160"/>
        <c:axId val="1213926720"/>
      </c:bubbleChart>
      <c:valAx>
        <c:axId val="121392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Investment Duration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926720"/>
        <c:crosses val="autoZero"/>
        <c:crossBetween val="midCat"/>
      </c:valAx>
      <c:valAx>
        <c:axId val="121392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Expected Returns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928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C2868C0-8D81-4793-B61F-0691975236A2}">
  <sheetPr/>
  <sheetViews>
    <sheetView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9CFBDDF-84A7-484A-B31F-76FF23EFF8DD}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7A7777-C6B4-42B3-BEC3-77206A241073}">
  <sheetPr/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5493DB0-0C3E-4805-A222-A720F6DFAEFC}">
  <sheetPr/>
  <sheetViews>
    <sheetView tabSelected="1"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810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FB3E6E-E90C-3772-85AF-201BAD0875D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810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76FDCD-2982-AE7D-FF19-BF0B47DE60E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810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6DE9AC-1FFF-DA4D-76C9-5BA973DBA7C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810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3D082C-38DE-957A-8119-FF929DD9FF6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2F98-2FA1-4F26-9FFD-35EBFD61DD48}">
  <dimension ref="A1:C4"/>
  <sheetViews>
    <sheetView zoomScaleNormal="100" workbookViewId="0">
      <selection activeCell="C4" sqref="C4"/>
    </sheetView>
  </sheetViews>
  <sheetFormatPr defaultRowHeight="14.4" x14ac:dyDescent="0.3"/>
  <cols>
    <col min="1" max="1" width="12.44140625" bestFit="1" customWidth="1"/>
    <col min="2" max="3" width="15.33203125" bestFit="1" customWidth="1"/>
  </cols>
  <sheetData>
    <row r="1" spans="1:3" x14ac:dyDescent="0.3">
      <c r="A1" t="s">
        <v>70</v>
      </c>
      <c r="B1" t="s">
        <v>71</v>
      </c>
      <c r="C1" t="s">
        <v>75</v>
      </c>
    </row>
    <row r="2" spans="1:3" x14ac:dyDescent="0.3">
      <c r="A2" t="s">
        <v>72</v>
      </c>
      <c r="B2">
        <v>0.12</v>
      </c>
      <c r="C2" t="s">
        <v>76</v>
      </c>
    </row>
    <row r="3" spans="1:3" x14ac:dyDescent="0.3">
      <c r="A3" t="s">
        <v>73</v>
      </c>
      <c r="B3">
        <v>0.08</v>
      </c>
      <c r="C3" t="s">
        <v>76</v>
      </c>
    </row>
    <row r="4" spans="1:3" x14ac:dyDescent="0.3">
      <c r="A4" t="s">
        <v>74</v>
      </c>
      <c r="B4">
        <f>CORREL('Data_set 2 (1)'!Y2:Y41,'Data_set 2 (1)'!Z2:Z41)</f>
        <v>0.27149751588388149</v>
      </c>
      <c r="C4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FE84-E4C6-4553-B888-832FF069AF82}">
  <dimension ref="A1:Z41"/>
  <sheetViews>
    <sheetView topLeftCell="D1" zoomScale="95" zoomScaleNormal="95" workbookViewId="0">
      <selection activeCell="B34" sqref="B34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68</v>
      </c>
      <c r="Z1" t="s">
        <v>69</v>
      </c>
    </row>
    <row r="2" spans="1:26" x14ac:dyDescent="0.3">
      <c r="A2" t="s">
        <v>24</v>
      </c>
      <c r="B2" t="s">
        <v>1</v>
      </c>
      <c r="C2" t="s">
        <v>25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27</v>
      </c>
      <c r="U2" t="s">
        <v>34</v>
      </c>
      <c r="V2" t="s">
        <v>35</v>
      </c>
      <c r="W2" t="s">
        <v>36</v>
      </c>
      <c r="X2" t="s">
        <v>37</v>
      </c>
      <c r="Y2">
        <f>IF(O2="Less than 1 year",1,IF(O2="1-3 years",2,IF(O2="3-5 years",3,4)))</f>
        <v>2</v>
      </c>
      <c r="Z2">
        <f>IF(Q2="10%-20%",1,IF(Q2="20%-30%",2,3))</f>
        <v>2</v>
      </c>
    </row>
    <row r="3" spans="1:26" x14ac:dyDescent="0.3">
      <c r="A3" t="s">
        <v>24</v>
      </c>
      <c r="B3" t="s">
        <v>1</v>
      </c>
      <c r="C3" t="s">
        <v>25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31</v>
      </c>
      <c r="R3" t="s">
        <v>32</v>
      </c>
      <c r="S3" t="s">
        <v>42</v>
      </c>
      <c r="T3" t="s">
        <v>43</v>
      </c>
      <c r="U3" t="s">
        <v>34</v>
      </c>
      <c r="V3" t="s">
        <v>35</v>
      </c>
      <c r="W3" t="s">
        <v>44</v>
      </c>
      <c r="X3" t="s">
        <v>45</v>
      </c>
      <c r="Y3">
        <f t="shared" ref="Y3:Y41" si="0">IF(O3="Less than 1 year",1,IF(O3="1-3 years",2,IF(O3="3-5 years",3,4)))</f>
        <v>4</v>
      </c>
      <c r="Z3">
        <f t="shared" ref="Z3:Z41" si="1">IF(Q3="10%-20%",1,IF(Q3="20%-30%",2,3))</f>
        <v>2</v>
      </c>
    </row>
    <row r="4" spans="1:26" x14ac:dyDescent="0.3">
      <c r="A4" t="s">
        <v>46</v>
      </c>
      <c r="B4" t="s">
        <v>1</v>
      </c>
      <c r="C4" t="s">
        <v>25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25</v>
      </c>
      <c r="L4" t="s">
        <v>26</v>
      </c>
      <c r="M4" t="s">
        <v>27</v>
      </c>
      <c r="N4" t="s">
        <v>28</v>
      </c>
      <c r="O4" t="s">
        <v>47</v>
      </c>
      <c r="P4" t="s">
        <v>48</v>
      </c>
      <c r="Q4" t="s">
        <v>31</v>
      </c>
      <c r="R4" t="s">
        <v>49</v>
      </c>
      <c r="S4" t="s">
        <v>33</v>
      </c>
      <c r="T4" t="s">
        <v>27</v>
      </c>
      <c r="U4" t="s">
        <v>50</v>
      </c>
      <c r="V4" t="s">
        <v>51</v>
      </c>
      <c r="W4" t="s">
        <v>36</v>
      </c>
      <c r="X4" t="s">
        <v>52</v>
      </c>
      <c r="Y4">
        <f t="shared" si="0"/>
        <v>3</v>
      </c>
      <c r="Z4">
        <f t="shared" si="1"/>
        <v>2</v>
      </c>
    </row>
    <row r="5" spans="1:26" x14ac:dyDescent="0.3">
      <c r="A5" t="s">
        <v>46</v>
      </c>
      <c r="B5" t="s">
        <v>1</v>
      </c>
      <c r="C5" t="s">
        <v>25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25</v>
      </c>
      <c r="L5" t="s">
        <v>26</v>
      </c>
      <c r="M5" t="s">
        <v>53</v>
      </c>
      <c r="N5" t="s">
        <v>28</v>
      </c>
      <c r="O5" t="s">
        <v>54</v>
      </c>
      <c r="P5" t="s">
        <v>48</v>
      </c>
      <c r="Q5" t="s">
        <v>55</v>
      </c>
      <c r="R5" t="s">
        <v>49</v>
      </c>
      <c r="S5" t="s">
        <v>33</v>
      </c>
      <c r="T5" t="s">
        <v>43</v>
      </c>
      <c r="U5" t="s">
        <v>56</v>
      </c>
      <c r="V5" t="s">
        <v>57</v>
      </c>
      <c r="W5" t="s">
        <v>44</v>
      </c>
      <c r="X5" t="s">
        <v>58</v>
      </c>
      <c r="Y5">
        <f t="shared" si="0"/>
        <v>1</v>
      </c>
      <c r="Z5">
        <f t="shared" si="1"/>
        <v>1</v>
      </c>
    </row>
    <row r="6" spans="1:26" x14ac:dyDescent="0.3">
      <c r="A6" t="s">
        <v>24</v>
      </c>
      <c r="B6" t="s">
        <v>1</v>
      </c>
      <c r="C6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38</v>
      </c>
      <c r="L6" t="s">
        <v>26</v>
      </c>
      <c r="M6" t="s">
        <v>53</v>
      </c>
      <c r="N6" t="s">
        <v>28</v>
      </c>
      <c r="O6" t="s">
        <v>54</v>
      </c>
      <c r="P6" t="s">
        <v>48</v>
      </c>
      <c r="Q6" t="s">
        <v>31</v>
      </c>
      <c r="R6" t="s">
        <v>49</v>
      </c>
      <c r="S6" t="s">
        <v>33</v>
      </c>
      <c r="T6" t="s">
        <v>27</v>
      </c>
      <c r="U6" t="s">
        <v>34</v>
      </c>
      <c r="V6" t="s">
        <v>35</v>
      </c>
      <c r="W6" t="s">
        <v>59</v>
      </c>
      <c r="X6" t="s">
        <v>58</v>
      </c>
      <c r="Y6">
        <f t="shared" si="0"/>
        <v>1</v>
      </c>
      <c r="Z6">
        <f t="shared" si="1"/>
        <v>2</v>
      </c>
    </row>
    <row r="7" spans="1:26" x14ac:dyDescent="0.3">
      <c r="A7" t="s">
        <v>24</v>
      </c>
      <c r="B7" t="s">
        <v>1</v>
      </c>
      <c r="C7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38</v>
      </c>
      <c r="L7" t="s">
        <v>60</v>
      </c>
      <c r="M7" t="s">
        <v>27</v>
      </c>
      <c r="N7" t="s">
        <v>28</v>
      </c>
      <c r="O7" t="s">
        <v>29</v>
      </c>
      <c r="P7" t="s">
        <v>48</v>
      </c>
      <c r="Q7" t="s">
        <v>61</v>
      </c>
      <c r="R7" t="s">
        <v>32</v>
      </c>
      <c r="S7" t="s">
        <v>33</v>
      </c>
      <c r="T7" t="s">
        <v>62</v>
      </c>
      <c r="U7" t="s">
        <v>56</v>
      </c>
      <c r="V7" t="s">
        <v>35</v>
      </c>
      <c r="W7" t="s">
        <v>59</v>
      </c>
      <c r="X7" t="s">
        <v>58</v>
      </c>
      <c r="Y7">
        <f t="shared" si="0"/>
        <v>2</v>
      </c>
      <c r="Z7">
        <f t="shared" si="1"/>
        <v>3</v>
      </c>
    </row>
    <row r="8" spans="1:26" x14ac:dyDescent="0.3">
      <c r="A8" t="s">
        <v>24</v>
      </c>
      <c r="B8" t="s">
        <v>1</v>
      </c>
      <c r="C8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25</v>
      </c>
      <c r="L8" t="s">
        <v>26</v>
      </c>
      <c r="M8" t="s">
        <v>27</v>
      </c>
      <c r="N8" t="s">
        <v>28</v>
      </c>
      <c r="O8" t="s">
        <v>47</v>
      </c>
      <c r="P8" t="s">
        <v>30</v>
      </c>
      <c r="Q8" t="s">
        <v>31</v>
      </c>
      <c r="R8" t="s">
        <v>49</v>
      </c>
      <c r="S8" t="s">
        <v>33</v>
      </c>
      <c r="T8" t="s">
        <v>27</v>
      </c>
      <c r="U8" t="s">
        <v>34</v>
      </c>
      <c r="V8" t="s">
        <v>51</v>
      </c>
      <c r="W8" t="s">
        <v>44</v>
      </c>
      <c r="X8" t="s">
        <v>45</v>
      </c>
      <c r="Y8">
        <f t="shared" si="0"/>
        <v>3</v>
      </c>
      <c r="Z8">
        <f t="shared" si="1"/>
        <v>2</v>
      </c>
    </row>
    <row r="9" spans="1:26" x14ac:dyDescent="0.3">
      <c r="A9" t="s">
        <v>46</v>
      </c>
      <c r="B9" t="s">
        <v>1</v>
      </c>
      <c r="C9" t="s">
        <v>25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25</v>
      </c>
      <c r="L9" t="s">
        <v>60</v>
      </c>
      <c r="M9" t="s">
        <v>27</v>
      </c>
      <c r="N9" t="s">
        <v>28</v>
      </c>
      <c r="O9" t="s">
        <v>47</v>
      </c>
      <c r="P9" t="s">
        <v>30</v>
      </c>
      <c r="Q9" t="s">
        <v>31</v>
      </c>
      <c r="R9" t="s">
        <v>32</v>
      </c>
      <c r="S9" t="s">
        <v>33</v>
      </c>
      <c r="T9" t="s">
        <v>27</v>
      </c>
      <c r="U9" t="s">
        <v>34</v>
      </c>
      <c r="V9" t="s">
        <v>51</v>
      </c>
      <c r="W9" t="s">
        <v>59</v>
      </c>
      <c r="X9" t="s">
        <v>37</v>
      </c>
      <c r="Y9">
        <f t="shared" si="0"/>
        <v>3</v>
      </c>
      <c r="Z9">
        <f t="shared" si="1"/>
        <v>2</v>
      </c>
    </row>
    <row r="10" spans="1:26" x14ac:dyDescent="0.3">
      <c r="A10" t="s">
        <v>46</v>
      </c>
      <c r="B10" t="s">
        <v>1</v>
      </c>
      <c r="C10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25</v>
      </c>
      <c r="L10" t="s">
        <v>26</v>
      </c>
      <c r="M10" t="s">
        <v>63</v>
      </c>
      <c r="N10" t="s">
        <v>64</v>
      </c>
      <c r="O10" t="s">
        <v>29</v>
      </c>
      <c r="P10" t="s">
        <v>41</v>
      </c>
      <c r="Q10" t="s">
        <v>31</v>
      </c>
      <c r="R10" t="s">
        <v>49</v>
      </c>
      <c r="S10" t="s">
        <v>33</v>
      </c>
      <c r="T10" t="s">
        <v>27</v>
      </c>
      <c r="U10" t="s">
        <v>56</v>
      </c>
      <c r="V10" t="s">
        <v>35</v>
      </c>
      <c r="W10" t="s">
        <v>36</v>
      </c>
      <c r="X10" t="s">
        <v>52</v>
      </c>
      <c r="Y10">
        <f t="shared" si="0"/>
        <v>2</v>
      </c>
      <c r="Z10">
        <f t="shared" si="1"/>
        <v>2</v>
      </c>
    </row>
    <row r="11" spans="1:26" x14ac:dyDescent="0.3">
      <c r="A11" t="s">
        <v>46</v>
      </c>
      <c r="B11" t="s">
        <v>1</v>
      </c>
      <c r="C11" t="s">
        <v>25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25</v>
      </c>
      <c r="L11" t="s">
        <v>26</v>
      </c>
      <c r="M11" t="s">
        <v>27</v>
      </c>
      <c r="N11" t="s">
        <v>28</v>
      </c>
      <c r="O11" t="s">
        <v>47</v>
      </c>
      <c r="P11" t="s">
        <v>30</v>
      </c>
      <c r="Q11" t="s">
        <v>61</v>
      </c>
      <c r="R11" t="s">
        <v>65</v>
      </c>
      <c r="S11" t="s">
        <v>33</v>
      </c>
      <c r="T11" t="s">
        <v>27</v>
      </c>
      <c r="U11" t="s">
        <v>56</v>
      </c>
      <c r="V11" t="s">
        <v>51</v>
      </c>
      <c r="W11" t="s">
        <v>36</v>
      </c>
      <c r="X11" t="s">
        <v>37</v>
      </c>
      <c r="Y11">
        <f t="shared" si="0"/>
        <v>3</v>
      </c>
      <c r="Z11">
        <f t="shared" si="1"/>
        <v>3</v>
      </c>
    </row>
    <row r="12" spans="1:26" x14ac:dyDescent="0.3">
      <c r="A12" t="s">
        <v>24</v>
      </c>
      <c r="B12" t="s">
        <v>1</v>
      </c>
      <c r="C12" t="s">
        <v>25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25</v>
      </c>
      <c r="L12" t="s">
        <v>60</v>
      </c>
      <c r="M12" t="s">
        <v>63</v>
      </c>
      <c r="N12" t="s">
        <v>64</v>
      </c>
      <c r="O12" t="s">
        <v>47</v>
      </c>
      <c r="P12" t="s">
        <v>30</v>
      </c>
      <c r="Q12" t="s">
        <v>31</v>
      </c>
      <c r="R12" t="s">
        <v>32</v>
      </c>
      <c r="S12" t="s">
        <v>33</v>
      </c>
      <c r="T12" t="s">
        <v>27</v>
      </c>
      <c r="U12" t="s">
        <v>34</v>
      </c>
      <c r="V12" t="s">
        <v>51</v>
      </c>
      <c r="W12" t="s">
        <v>59</v>
      </c>
      <c r="X12" t="s">
        <v>45</v>
      </c>
      <c r="Y12">
        <f t="shared" si="0"/>
        <v>3</v>
      </c>
      <c r="Z12">
        <f t="shared" si="1"/>
        <v>2</v>
      </c>
    </row>
    <row r="13" spans="1:26" x14ac:dyDescent="0.3">
      <c r="A13" t="s">
        <v>46</v>
      </c>
      <c r="B13" t="s">
        <v>1</v>
      </c>
      <c r="C13" t="s">
        <v>25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25</v>
      </c>
      <c r="L13" t="s">
        <v>60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27</v>
      </c>
      <c r="U13" t="s">
        <v>56</v>
      </c>
      <c r="V13" t="s">
        <v>51</v>
      </c>
      <c r="W13" t="s">
        <v>36</v>
      </c>
      <c r="X13" t="s">
        <v>45</v>
      </c>
      <c r="Y13">
        <f t="shared" si="0"/>
        <v>2</v>
      </c>
      <c r="Z13">
        <f t="shared" si="1"/>
        <v>2</v>
      </c>
    </row>
    <row r="14" spans="1:26" x14ac:dyDescent="0.3">
      <c r="A14" t="s">
        <v>24</v>
      </c>
      <c r="B14" t="s">
        <v>1</v>
      </c>
      <c r="C14" t="s">
        <v>38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38</v>
      </c>
      <c r="L14" t="s">
        <v>26</v>
      </c>
      <c r="M14" t="s">
        <v>27</v>
      </c>
      <c r="N14" t="s">
        <v>64</v>
      </c>
      <c r="O14" t="s">
        <v>29</v>
      </c>
      <c r="P14" t="s">
        <v>41</v>
      </c>
      <c r="Q14" t="s">
        <v>31</v>
      </c>
      <c r="R14" t="s">
        <v>32</v>
      </c>
      <c r="S14" t="s">
        <v>66</v>
      </c>
      <c r="T14" t="s">
        <v>43</v>
      </c>
      <c r="U14" t="s">
        <v>34</v>
      </c>
      <c r="V14" t="s">
        <v>35</v>
      </c>
      <c r="W14" t="s">
        <v>59</v>
      </c>
      <c r="X14" t="s">
        <v>58</v>
      </c>
      <c r="Y14">
        <f t="shared" si="0"/>
        <v>2</v>
      </c>
      <c r="Z14">
        <f t="shared" si="1"/>
        <v>2</v>
      </c>
    </row>
    <row r="15" spans="1:26" x14ac:dyDescent="0.3">
      <c r="A15" t="s">
        <v>24</v>
      </c>
      <c r="B15" t="s">
        <v>1</v>
      </c>
      <c r="C15" t="s">
        <v>25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27</v>
      </c>
      <c r="U15" t="s">
        <v>56</v>
      </c>
      <c r="V15" t="s">
        <v>51</v>
      </c>
      <c r="W15" t="s">
        <v>59</v>
      </c>
      <c r="X15" t="s">
        <v>37</v>
      </c>
      <c r="Y15">
        <f t="shared" si="0"/>
        <v>2</v>
      </c>
      <c r="Z15">
        <f t="shared" si="1"/>
        <v>2</v>
      </c>
    </row>
    <row r="16" spans="1:26" x14ac:dyDescent="0.3">
      <c r="A16" t="s">
        <v>24</v>
      </c>
      <c r="B16" t="s">
        <v>1</v>
      </c>
      <c r="C16" t="s">
        <v>25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65</v>
      </c>
      <c r="S16" t="s">
        <v>42</v>
      </c>
      <c r="T16" t="s">
        <v>43</v>
      </c>
      <c r="U16" t="s">
        <v>34</v>
      </c>
      <c r="V16" t="s">
        <v>51</v>
      </c>
      <c r="W16" t="s">
        <v>59</v>
      </c>
      <c r="X16" t="s">
        <v>45</v>
      </c>
      <c r="Y16">
        <f t="shared" si="0"/>
        <v>2</v>
      </c>
      <c r="Z16">
        <f t="shared" si="1"/>
        <v>2</v>
      </c>
    </row>
    <row r="17" spans="1:26" x14ac:dyDescent="0.3">
      <c r="A17" t="s">
        <v>46</v>
      </c>
      <c r="B17" t="s">
        <v>1</v>
      </c>
      <c r="C17" t="s">
        <v>25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42</v>
      </c>
      <c r="T17" t="s">
        <v>27</v>
      </c>
      <c r="U17" t="s">
        <v>56</v>
      </c>
      <c r="V17" t="s">
        <v>51</v>
      </c>
      <c r="W17" t="s">
        <v>59</v>
      </c>
      <c r="X17" t="s">
        <v>37</v>
      </c>
      <c r="Y17">
        <f t="shared" si="0"/>
        <v>2</v>
      </c>
      <c r="Z17">
        <f t="shared" si="1"/>
        <v>2</v>
      </c>
    </row>
    <row r="18" spans="1:26" x14ac:dyDescent="0.3">
      <c r="A18" t="s">
        <v>24</v>
      </c>
      <c r="B18" t="s">
        <v>1</v>
      </c>
      <c r="C18" t="s">
        <v>25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25</v>
      </c>
      <c r="L18" t="s">
        <v>60</v>
      </c>
      <c r="M18" t="s">
        <v>63</v>
      </c>
      <c r="N18" t="s">
        <v>28</v>
      </c>
      <c r="O18" t="s">
        <v>29</v>
      </c>
      <c r="P18" t="s">
        <v>30</v>
      </c>
      <c r="Q18" t="s">
        <v>31</v>
      </c>
      <c r="R18" t="s">
        <v>65</v>
      </c>
      <c r="S18" t="s">
        <v>42</v>
      </c>
      <c r="T18" t="s">
        <v>27</v>
      </c>
      <c r="U18" t="s">
        <v>56</v>
      </c>
      <c r="V18" t="s">
        <v>51</v>
      </c>
      <c r="W18" t="s">
        <v>59</v>
      </c>
      <c r="X18" t="s">
        <v>52</v>
      </c>
      <c r="Y18">
        <f t="shared" si="0"/>
        <v>2</v>
      </c>
      <c r="Z18">
        <f t="shared" si="1"/>
        <v>2</v>
      </c>
    </row>
    <row r="19" spans="1:26" x14ac:dyDescent="0.3">
      <c r="A19" t="s">
        <v>46</v>
      </c>
      <c r="B19" t="s">
        <v>1</v>
      </c>
      <c r="C19" t="s">
        <v>25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27</v>
      </c>
      <c r="U19" t="s">
        <v>34</v>
      </c>
      <c r="V19" t="s">
        <v>51</v>
      </c>
      <c r="W19" t="s">
        <v>59</v>
      </c>
      <c r="X19" t="s">
        <v>45</v>
      </c>
      <c r="Y19">
        <f t="shared" si="0"/>
        <v>2</v>
      </c>
      <c r="Z19">
        <f t="shared" si="1"/>
        <v>2</v>
      </c>
    </row>
    <row r="20" spans="1:26" x14ac:dyDescent="0.3">
      <c r="A20" t="s">
        <v>46</v>
      </c>
      <c r="B20" t="s">
        <v>1</v>
      </c>
      <c r="C20" t="s">
        <v>25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25</v>
      </c>
      <c r="L20" t="s">
        <v>60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 t="s">
        <v>27</v>
      </c>
      <c r="U20" t="s">
        <v>34</v>
      </c>
      <c r="V20" t="s">
        <v>51</v>
      </c>
      <c r="W20" t="s">
        <v>59</v>
      </c>
      <c r="X20" t="s">
        <v>37</v>
      </c>
      <c r="Y20">
        <f t="shared" si="0"/>
        <v>2</v>
      </c>
      <c r="Z20">
        <f t="shared" si="1"/>
        <v>2</v>
      </c>
    </row>
    <row r="21" spans="1:26" x14ac:dyDescent="0.3">
      <c r="A21" t="s">
        <v>46</v>
      </c>
      <c r="B21" t="s">
        <v>1</v>
      </c>
      <c r="C21" t="s">
        <v>25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25</v>
      </c>
      <c r="L21" t="s">
        <v>60</v>
      </c>
      <c r="M21" t="s">
        <v>27</v>
      </c>
      <c r="N21" t="s">
        <v>28</v>
      </c>
      <c r="O21" t="s">
        <v>47</v>
      </c>
      <c r="P21" t="s">
        <v>30</v>
      </c>
      <c r="Q21" t="s">
        <v>31</v>
      </c>
      <c r="R21" t="s">
        <v>65</v>
      </c>
      <c r="S21" t="s">
        <v>42</v>
      </c>
      <c r="T21" t="s">
        <v>27</v>
      </c>
      <c r="U21" t="s">
        <v>56</v>
      </c>
      <c r="V21" t="s">
        <v>51</v>
      </c>
      <c r="W21" t="s">
        <v>59</v>
      </c>
      <c r="X21" t="s">
        <v>37</v>
      </c>
      <c r="Y21">
        <f t="shared" si="0"/>
        <v>3</v>
      </c>
      <c r="Z21">
        <f t="shared" si="1"/>
        <v>2</v>
      </c>
    </row>
    <row r="22" spans="1:26" x14ac:dyDescent="0.3">
      <c r="A22" t="s">
        <v>46</v>
      </c>
      <c r="B22" t="s">
        <v>1</v>
      </c>
      <c r="C22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25</v>
      </c>
      <c r="L22" t="s">
        <v>26</v>
      </c>
      <c r="M22" t="s">
        <v>63</v>
      </c>
      <c r="N22" t="s">
        <v>28</v>
      </c>
      <c r="O22" t="s">
        <v>47</v>
      </c>
      <c r="P22" t="s">
        <v>41</v>
      </c>
      <c r="Q22" t="s">
        <v>31</v>
      </c>
      <c r="R22" t="s">
        <v>32</v>
      </c>
      <c r="S22" t="s">
        <v>33</v>
      </c>
      <c r="T22" t="s">
        <v>27</v>
      </c>
      <c r="U22" t="s">
        <v>34</v>
      </c>
      <c r="V22" t="s">
        <v>51</v>
      </c>
      <c r="W22" t="s">
        <v>36</v>
      </c>
      <c r="X22" t="s">
        <v>45</v>
      </c>
      <c r="Y22">
        <f t="shared" si="0"/>
        <v>3</v>
      </c>
      <c r="Z22">
        <f t="shared" si="1"/>
        <v>2</v>
      </c>
    </row>
    <row r="23" spans="1:26" x14ac:dyDescent="0.3">
      <c r="A23" t="s">
        <v>24</v>
      </c>
      <c r="B23" t="s">
        <v>1</v>
      </c>
      <c r="C23" t="s">
        <v>25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25</v>
      </c>
      <c r="L23" t="s">
        <v>60</v>
      </c>
      <c r="M23" t="s">
        <v>27</v>
      </c>
      <c r="N23" t="s">
        <v>28</v>
      </c>
      <c r="O23" t="s">
        <v>47</v>
      </c>
      <c r="P23" t="s">
        <v>30</v>
      </c>
      <c r="Q23" t="s">
        <v>31</v>
      </c>
      <c r="R23" t="s">
        <v>49</v>
      </c>
      <c r="S23" t="s">
        <v>42</v>
      </c>
      <c r="T23" t="s">
        <v>27</v>
      </c>
      <c r="U23" t="s">
        <v>34</v>
      </c>
      <c r="V23" t="s">
        <v>51</v>
      </c>
      <c r="W23" t="s">
        <v>59</v>
      </c>
      <c r="X23" t="s">
        <v>37</v>
      </c>
      <c r="Y23">
        <f t="shared" si="0"/>
        <v>3</v>
      </c>
      <c r="Z23">
        <f t="shared" si="1"/>
        <v>2</v>
      </c>
    </row>
    <row r="24" spans="1:26" x14ac:dyDescent="0.3">
      <c r="A24" t="s">
        <v>46</v>
      </c>
      <c r="B24" t="s">
        <v>1</v>
      </c>
      <c r="C24" t="s">
        <v>25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25</v>
      </c>
      <c r="L24" t="s">
        <v>26</v>
      </c>
      <c r="M24" t="s">
        <v>27</v>
      </c>
      <c r="N24" t="s">
        <v>28</v>
      </c>
      <c r="O24" t="s">
        <v>47</v>
      </c>
      <c r="P24" t="s">
        <v>30</v>
      </c>
      <c r="Q24" t="s">
        <v>31</v>
      </c>
      <c r="R24" t="s">
        <v>32</v>
      </c>
      <c r="S24" t="s">
        <v>33</v>
      </c>
      <c r="T24" t="s">
        <v>27</v>
      </c>
      <c r="U24" t="s">
        <v>34</v>
      </c>
      <c r="V24" t="s">
        <v>51</v>
      </c>
      <c r="W24" t="s">
        <v>59</v>
      </c>
      <c r="X24" t="s">
        <v>45</v>
      </c>
      <c r="Y24">
        <f t="shared" si="0"/>
        <v>3</v>
      </c>
      <c r="Z24">
        <f t="shared" si="1"/>
        <v>2</v>
      </c>
    </row>
    <row r="25" spans="1:26" x14ac:dyDescent="0.3">
      <c r="A25" t="s">
        <v>46</v>
      </c>
      <c r="B25" t="s">
        <v>1</v>
      </c>
      <c r="C25" t="s">
        <v>25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25</v>
      </c>
      <c r="L25" t="s">
        <v>60</v>
      </c>
      <c r="M25" t="s">
        <v>63</v>
      </c>
      <c r="N25" t="s">
        <v>64</v>
      </c>
      <c r="O25" t="s">
        <v>47</v>
      </c>
      <c r="P25" t="s">
        <v>41</v>
      </c>
      <c r="Q25" t="s">
        <v>31</v>
      </c>
      <c r="R25" t="s">
        <v>67</v>
      </c>
      <c r="S25" t="s">
        <v>42</v>
      </c>
      <c r="T25" t="s">
        <v>62</v>
      </c>
      <c r="U25" t="s">
        <v>34</v>
      </c>
      <c r="V25" t="s">
        <v>51</v>
      </c>
      <c r="W25" t="s">
        <v>59</v>
      </c>
      <c r="X25" t="s">
        <v>45</v>
      </c>
      <c r="Y25">
        <f t="shared" si="0"/>
        <v>3</v>
      </c>
      <c r="Z25">
        <f t="shared" si="1"/>
        <v>2</v>
      </c>
    </row>
    <row r="26" spans="1:26" x14ac:dyDescent="0.3">
      <c r="A26" t="s">
        <v>24</v>
      </c>
      <c r="B26" t="s">
        <v>1</v>
      </c>
      <c r="C26" t="s">
        <v>25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25</v>
      </c>
      <c r="L26" t="s">
        <v>26</v>
      </c>
      <c r="M26" t="s">
        <v>27</v>
      </c>
      <c r="N26" t="s">
        <v>28</v>
      </c>
      <c r="O26" t="s">
        <v>47</v>
      </c>
      <c r="P26" t="s">
        <v>30</v>
      </c>
      <c r="Q26" t="s">
        <v>61</v>
      </c>
      <c r="R26" t="s">
        <v>67</v>
      </c>
      <c r="S26" t="s">
        <v>33</v>
      </c>
      <c r="T26" t="s">
        <v>27</v>
      </c>
      <c r="U26" t="s">
        <v>34</v>
      </c>
      <c r="V26" t="s">
        <v>51</v>
      </c>
      <c r="W26" t="s">
        <v>59</v>
      </c>
      <c r="X26" t="s">
        <v>37</v>
      </c>
      <c r="Y26">
        <f t="shared" si="0"/>
        <v>3</v>
      </c>
      <c r="Z26">
        <f t="shared" si="1"/>
        <v>3</v>
      </c>
    </row>
    <row r="27" spans="1:26" x14ac:dyDescent="0.3">
      <c r="A27" t="s">
        <v>24</v>
      </c>
      <c r="B27" t="s">
        <v>1</v>
      </c>
      <c r="C27" t="s">
        <v>25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25</v>
      </c>
      <c r="L27" t="s">
        <v>60</v>
      </c>
      <c r="M27" t="s">
        <v>63</v>
      </c>
      <c r="N27" t="s">
        <v>28</v>
      </c>
      <c r="O27" t="s">
        <v>47</v>
      </c>
      <c r="P27" t="s">
        <v>30</v>
      </c>
      <c r="Q27" t="s">
        <v>31</v>
      </c>
      <c r="R27" t="s">
        <v>32</v>
      </c>
      <c r="S27" t="s">
        <v>33</v>
      </c>
      <c r="T27" t="s">
        <v>27</v>
      </c>
      <c r="U27" t="s">
        <v>34</v>
      </c>
      <c r="V27" t="s">
        <v>51</v>
      </c>
      <c r="W27" t="s">
        <v>36</v>
      </c>
      <c r="X27" t="s">
        <v>45</v>
      </c>
      <c r="Y27">
        <f t="shared" si="0"/>
        <v>3</v>
      </c>
      <c r="Z27">
        <f t="shared" si="1"/>
        <v>2</v>
      </c>
    </row>
    <row r="28" spans="1:26" x14ac:dyDescent="0.3">
      <c r="A28" t="s">
        <v>46</v>
      </c>
      <c r="B28" t="s">
        <v>1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26</v>
      </c>
      <c r="M28" t="s">
        <v>27</v>
      </c>
      <c r="N28" t="s">
        <v>28</v>
      </c>
      <c r="O28" t="s">
        <v>47</v>
      </c>
      <c r="P28" t="s">
        <v>30</v>
      </c>
      <c r="Q28" t="s">
        <v>31</v>
      </c>
      <c r="R28" t="s">
        <v>32</v>
      </c>
      <c r="S28" t="s">
        <v>33</v>
      </c>
      <c r="T28" t="s">
        <v>43</v>
      </c>
      <c r="U28" t="s">
        <v>56</v>
      </c>
      <c r="V28" t="s">
        <v>51</v>
      </c>
      <c r="W28" t="s">
        <v>36</v>
      </c>
      <c r="X28" t="s">
        <v>45</v>
      </c>
      <c r="Y28">
        <f t="shared" si="0"/>
        <v>3</v>
      </c>
      <c r="Z28">
        <f t="shared" si="1"/>
        <v>2</v>
      </c>
    </row>
    <row r="29" spans="1:26" x14ac:dyDescent="0.3">
      <c r="A29" t="s">
        <v>46</v>
      </c>
      <c r="B29" t="s">
        <v>1</v>
      </c>
      <c r="C29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25</v>
      </c>
      <c r="L29" t="s">
        <v>60</v>
      </c>
      <c r="M29" t="s">
        <v>63</v>
      </c>
      <c r="N29" t="s">
        <v>64</v>
      </c>
      <c r="O29" t="s">
        <v>29</v>
      </c>
      <c r="P29" t="s">
        <v>30</v>
      </c>
      <c r="Q29" t="s">
        <v>31</v>
      </c>
      <c r="R29" t="s">
        <v>65</v>
      </c>
      <c r="S29" t="s">
        <v>42</v>
      </c>
      <c r="T29" t="s">
        <v>27</v>
      </c>
      <c r="U29" t="s">
        <v>56</v>
      </c>
      <c r="V29" t="s">
        <v>35</v>
      </c>
      <c r="W29" t="s">
        <v>36</v>
      </c>
      <c r="X29" t="s">
        <v>52</v>
      </c>
      <c r="Y29">
        <f t="shared" si="0"/>
        <v>2</v>
      </c>
      <c r="Z29">
        <f t="shared" si="1"/>
        <v>2</v>
      </c>
    </row>
    <row r="30" spans="1:26" x14ac:dyDescent="0.3">
      <c r="A30" t="s">
        <v>46</v>
      </c>
      <c r="B30" t="s">
        <v>1</v>
      </c>
      <c r="C30" t="s">
        <v>25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 t="s">
        <v>27</v>
      </c>
      <c r="U30" t="s">
        <v>34</v>
      </c>
      <c r="V30" t="s">
        <v>51</v>
      </c>
      <c r="W30" t="s">
        <v>59</v>
      </c>
      <c r="X30" t="s">
        <v>52</v>
      </c>
      <c r="Y30">
        <f t="shared" si="0"/>
        <v>2</v>
      </c>
      <c r="Z30">
        <f t="shared" si="1"/>
        <v>2</v>
      </c>
    </row>
    <row r="31" spans="1:26" x14ac:dyDescent="0.3">
      <c r="A31" t="s">
        <v>24</v>
      </c>
      <c r="B31" t="s">
        <v>1</v>
      </c>
      <c r="C31" t="s">
        <v>25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25</v>
      </c>
      <c r="L31" t="s">
        <v>26</v>
      </c>
      <c r="M31" t="s">
        <v>53</v>
      </c>
      <c r="N31" t="s">
        <v>26</v>
      </c>
      <c r="O31" t="s">
        <v>47</v>
      </c>
      <c r="P31" t="s">
        <v>30</v>
      </c>
      <c r="Q31" t="s">
        <v>55</v>
      </c>
      <c r="R31" t="s">
        <v>32</v>
      </c>
      <c r="S31" t="s">
        <v>33</v>
      </c>
      <c r="T31" t="s">
        <v>27</v>
      </c>
      <c r="U31" t="s">
        <v>50</v>
      </c>
      <c r="V31" t="s">
        <v>35</v>
      </c>
      <c r="W31" t="s">
        <v>36</v>
      </c>
      <c r="X31" t="s">
        <v>37</v>
      </c>
      <c r="Y31">
        <f t="shared" si="0"/>
        <v>3</v>
      </c>
      <c r="Z31">
        <f t="shared" si="1"/>
        <v>1</v>
      </c>
    </row>
    <row r="32" spans="1:26" x14ac:dyDescent="0.3">
      <c r="A32" t="s">
        <v>46</v>
      </c>
      <c r="B32" t="s">
        <v>1</v>
      </c>
      <c r="C32" t="s">
        <v>25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38</v>
      </c>
      <c r="L32" t="s">
        <v>26</v>
      </c>
      <c r="M32" t="s">
        <v>63</v>
      </c>
      <c r="N32" t="s">
        <v>28</v>
      </c>
      <c r="O32" t="s">
        <v>29</v>
      </c>
      <c r="P32" t="s">
        <v>30</v>
      </c>
      <c r="Q32" t="s">
        <v>55</v>
      </c>
      <c r="R32" t="s">
        <v>32</v>
      </c>
      <c r="S32" t="s">
        <v>66</v>
      </c>
      <c r="T32" t="s">
        <v>27</v>
      </c>
      <c r="U32" t="s">
        <v>50</v>
      </c>
      <c r="V32" t="s">
        <v>35</v>
      </c>
      <c r="W32" t="s">
        <v>36</v>
      </c>
      <c r="X32" t="s">
        <v>52</v>
      </c>
      <c r="Y32">
        <f t="shared" si="0"/>
        <v>2</v>
      </c>
      <c r="Z32">
        <f t="shared" si="1"/>
        <v>1</v>
      </c>
    </row>
    <row r="33" spans="1:26" x14ac:dyDescent="0.3">
      <c r="A33" t="s">
        <v>24</v>
      </c>
      <c r="B33" t="s">
        <v>1</v>
      </c>
      <c r="C33" t="s">
        <v>25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25</v>
      </c>
      <c r="L33" t="s">
        <v>26</v>
      </c>
      <c r="M33" t="s">
        <v>27</v>
      </c>
      <c r="N33" t="s">
        <v>28</v>
      </c>
      <c r="O33" t="s">
        <v>47</v>
      </c>
      <c r="P33" t="s">
        <v>30</v>
      </c>
      <c r="Q33" t="s">
        <v>31</v>
      </c>
      <c r="R33" t="s">
        <v>65</v>
      </c>
      <c r="S33" t="s">
        <v>33</v>
      </c>
      <c r="T33" t="s">
        <v>27</v>
      </c>
      <c r="U33" t="s">
        <v>34</v>
      </c>
      <c r="V33" t="s">
        <v>51</v>
      </c>
      <c r="W33" t="s">
        <v>36</v>
      </c>
      <c r="X33" t="s">
        <v>45</v>
      </c>
      <c r="Y33">
        <f t="shared" si="0"/>
        <v>3</v>
      </c>
      <c r="Z33">
        <f t="shared" si="1"/>
        <v>2</v>
      </c>
    </row>
    <row r="34" spans="1:26" x14ac:dyDescent="0.3">
      <c r="A34" t="s">
        <v>46</v>
      </c>
      <c r="B34" t="s">
        <v>1</v>
      </c>
      <c r="C34" t="s">
        <v>25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25</v>
      </c>
      <c r="L34" t="s">
        <v>26</v>
      </c>
      <c r="M34" t="s">
        <v>27</v>
      </c>
      <c r="N34" t="s">
        <v>28</v>
      </c>
      <c r="O34" t="s">
        <v>47</v>
      </c>
      <c r="P34" t="s">
        <v>30</v>
      </c>
      <c r="Q34" t="s">
        <v>61</v>
      </c>
      <c r="R34" t="s">
        <v>49</v>
      </c>
      <c r="S34" t="s">
        <v>42</v>
      </c>
      <c r="T34" t="s">
        <v>27</v>
      </c>
      <c r="U34" t="s">
        <v>56</v>
      </c>
      <c r="V34" t="s">
        <v>51</v>
      </c>
      <c r="W34" t="s">
        <v>36</v>
      </c>
      <c r="X34" t="s">
        <v>37</v>
      </c>
      <c r="Y34">
        <f t="shared" si="0"/>
        <v>3</v>
      </c>
      <c r="Z34">
        <f t="shared" si="1"/>
        <v>3</v>
      </c>
    </row>
    <row r="35" spans="1:26" x14ac:dyDescent="0.3">
      <c r="A35" t="s">
        <v>46</v>
      </c>
      <c r="B35" t="s">
        <v>1</v>
      </c>
      <c r="C35" t="s">
        <v>25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25</v>
      </c>
      <c r="L35" t="s">
        <v>26</v>
      </c>
      <c r="M35" t="s">
        <v>27</v>
      </c>
      <c r="N35" t="s">
        <v>26</v>
      </c>
      <c r="O35" t="s">
        <v>29</v>
      </c>
      <c r="P35" t="s">
        <v>30</v>
      </c>
      <c r="Q35" t="s">
        <v>31</v>
      </c>
      <c r="R35" t="s">
        <v>65</v>
      </c>
      <c r="S35" t="s">
        <v>66</v>
      </c>
      <c r="T35" t="s">
        <v>43</v>
      </c>
      <c r="U35" t="s">
        <v>34</v>
      </c>
      <c r="V35" t="s">
        <v>35</v>
      </c>
      <c r="W35" t="s">
        <v>59</v>
      </c>
      <c r="X35" t="s">
        <v>37</v>
      </c>
      <c r="Y35">
        <f t="shared" si="0"/>
        <v>2</v>
      </c>
      <c r="Z35">
        <f t="shared" si="1"/>
        <v>2</v>
      </c>
    </row>
    <row r="36" spans="1:26" x14ac:dyDescent="0.3">
      <c r="A36" t="s">
        <v>46</v>
      </c>
      <c r="B36" t="s">
        <v>1</v>
      </c>
      <c r="C36" t="s">
        <v>25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41</v>
      </c>
      <c r="Q36" t="s">
        <v>31</v>
      </c>
      <c r="R36" t="s">
        <v>32</v>
      </c>
      <c r="S36" t="s">
        <v>42</v>
      </c>
      <c r="T36" t="s">
        <v>27</v>
      </c>
      <c r="U36" t="s">
        <v>34</v>
      </c>
      <c r="V36" t="s">
        <v>35</v>
      </c>
      <c r="W36" t="s">
        <v>36</v>
      </c>
      <c r="X36" t="s">
        <v>45</v>
      </c>
      <c r="Y36">
        <f t="shared" si="0"/>
        <v>2</v>
      </c>
      <c r="Z36">
        <f t="shared" si="1"/>
        <v>2</v>
      </c>
    </row>
    <row r="37" spans="1:26" x14ac:dyDescent="0.3">
      <c r="A37" t="s">
        <v>46</v>
      </c>
      <c r="B37" t="s">
        <v>1</v>
      </c>
      <c r="C37" t="s">
        <v>25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25</v>
      </c>
      <c r="L37" t="s">
        <v>60</v>
      </c>
      <c r="M37" t="s">
        <v>63</v>
      </c>
      <c r="N37" t="s">
        <v>28</v>
      </c>
      <c r="O37" t="s">
        <v>47</v>
      </c>
      <c r="P37" t="s">
        <v>30</v>
      </c>
      <c r="Q37" t="s">
        <v>31</v>
      </c>
      <c r="R37" t="s">
        <v>65</v>
      </c>
      <c r="S37" t="s">
        <v>42</v>
      </c>
      <c r="T37" t="s">
        <v>27</v>
      </c>
      <c r="U37" t="s">
        <v>34</v>
      </c>
      <c r="V37" t="s">
        <v>51</v>
      </c>
      <c r="W37" t="s">
        <v>36</v>
      </c>
      <c r="X37" t="s">
        <v>45</v>
      </c>
      <c r="Y37">
        <f t="shared" si="0"/>
        <v>3</v>
      </c>
      <c r="Z37">
        <f t="shared" si="1"/>
        <v>2</v>
      </c>
    </row>
    <row r="38" spans="1:26" x14ac:dyDescent="0.3">
      <c r="A38" t="s">
        <v>46</v>
      </c>
      <c r="B38" t="s">
        <v>1</v>
      </c>
      <c r="C38" t="s">
        <v>25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49</v>
      </c>
      <c r="S38" t="s">
        <v>33</v>
      </c>
      <c r="T38" t="s">
        <v>27</v>
      </c>
      <c r="U38" t="s">
        <v>34</v>
      </c>
      <c r="V38" t="s">
        <v>51</v>
      </c>
      <c r="W38" t="s">
        <v>59</v>
      </c>
      <c r="X38" t="s">
        <v>37</v>
      </c>
      <c r="Y38">
        <f t="shared" si="0"/>
        <v>2</v>
      </c>
      <c r="Z38">
        <f t="shared" si="1"/>
        <v>2</v>
      </c>
    </row>
    <row r="39" spans="1:26" x14ac:dyDescent="0.3">
      <c r="A39" t="s">
        <v>46</v>
      </c>
      <c r="B39" t="s">
        <v>1</v>
      </c>
      <c r="C39" t="s">
        <v>25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25</v>
      </c>
      <c r="L39" t="s">
        <v>60</v>
      </c>
      <c r="M39" t="s">
        <v>63</v>
      </c>
      <c r="N39" t="s">
        <v>64</v>
      </c>
      <c r="O39" t="s">
        <v>47</v>
      </c>
      <c r="P39" t="s">
        <v>30</v>
      </c>
      <c r="Q39" t="s">
        <v>61</v>
      </c>
      <c r="R39" t="s">
        <v>67</v>
      </c>
      <c r="S39" t="s">
        <v>42</v>
      </c>
      <c r="T39" t="s">
        <v>27</v>
      </c>
      <c r="U39" t="s">
        <v>34</v>
      </c>
      <c r="V39" t="s">
        <v>35</v>
      </c>
      <c r="W39" t="s">
        <v>36</v>
      </c>
      <c r="X39" t="s">
        <v>45</v>
      </c>
      <c r="Y39">
        <f t="shared" si="0"/>
        <v>3</v>
      </c>
      <c r="Z39">
        <f t="shared" si="1"/>
        <v>3</v>
      </c>
    </row>
    <row r="40" spans="1:26" x14ac:dyDescent="0.3">
      <c r="A40" t="s">
        <v>46</v>
      </c>
      <c r="B40" t="s">
        <v>1</v>
      </c>
      <c r="C40" t="s">
        <v>25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25</v>
      </c>
      <c r="L40" t="s">
        <v>60</v>
      </c>
      <c r="M40" t="s">
        <v>63</v>
      </c>
      <c r="N40" t="s">
        <v>28</v>
      </c>
      <c r="O40" t="s">
        <v>29</v>
      </c>
      <c r="P40" t="s">
        <v>41</v>
      </c>
      <c r="Q40" t="s">
        <v>31</v>
      </c>
      <c r="R40" t="s">
        <v>49</v>
      </c>
      <c r="S40" t="s">
        <v>42</v>
      </c>
      <c r="T40" t="s">
        <v>43</v>
      </c>
      <c r="U40" t="s">
        <v>56</v>
      </c>
      <c r="V40" t="s">
        <v>51</v>
      </c>
      <c r="W40" t="s">
        <v>36</v>
      </c>
      <c r="X40" t="s">
        <v>37</v>
      </c>
      <c r="Y40">
        <f t="shared" si="0"/>
        <v>2</v>
      </c>
      <c r="Z40">
        <f t="shared" si="1"/>
        <v>2</v>
      </c>
    </row>
    <row r="41" spans="1:26" x14ac:dyDescent="0.3">
      <c r="A41" t="s">
        <v>46</v>
      </c>
      <c r="B41" t="s">
        <v>1</v>
      </c>
      <c r="C41" t="s">
        <v>25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25</v>
      </c>
      <c r="L41" t="s">
        <v>26</v>
      </c>
      <c r="M41" t="s">
        <v>27</v>
      </c>
      <c r="N41" t="s">
        <v>28</v>
      </c>
      <c r="O41" t="s">
        <v>47</v>
      </c>
      <c r="P41" t="s">
        <v>30</v>
      </c>
      <c r="Q41" t="s">
        <v>31</v>
      </c>
      <c r="R41" t="s">
        <v>65</v>
      </c>
      <c r="S41" t="s">
        <v>33</v>
      </c>
      <c r="T41" t="s">
        <v>43</v>
      </c>
      <c r="U41" t="s">
        <v>34</v>
      </c>
      <c r="V41" t="s">
        <v>35</v>
      </c>
      <c r="W41" t="s">
        <v>36</v>
      </c>
      <c r="X41" t="s">
        <v>45</v>
      </c>
      <c r="Y41">
        <f t="shared" si="0"/>
        <v>3</v>
      </c>
      <c r="Z41">
        <f t="shared" si="1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4</vt:i4>
      </vt:variant>
    </vt:vector>
  </HeadingPairs>
  <TitlesOfParts>
    <vt:vector size="6" baseType="lpstr">
      <vt:lpstr>Task 5</vt:lpstr>
      <vt:lpstr>Data_set 2 (1)</vt:lpstr>
      <vt:lpstr>Scatter Plot 1</vt:lpstr>
      <vt:lpstr>scatter plot2</vt:lpstr>
      <vt:lpstr>scatter plot3</vt:lpstr>
      <vt:lpstr>bubble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Setti jaya durga sivaprasad</dc:creator>
  <cp:lastModifiedBy>Setti jaya durga sivaprasad</cp:lastModifiedBy>
  <dcterms:created xsi:type="dcterms:W3CDTF">2026-06-08T09:56:02Z</dcterms:created>
  <dcterms:modified xsi:type="dcterms:W3CDTF">2026-06-09T03:44:46Z</dcterms:modified>
</cp:coreProperties>
</file>